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S:\Documents\Church\Directory\"/>
    </mc:Choice>
  </mc:AlternateContent>
  <xr:revisionPtr revIDLastSave="0" documentId="13_ncr:1_{58AE43C9-91E7-4D10-86A0-EA378A2C9F60}" xr6:coauthVersionLast="47" xr6:coauthVersionMax="47" xr10:uidLastSave="{00000000-0000-0000-0000-000000000000}"/>
  <bookViews>
    <workbookView xWindow="28680" yWindow="-120" windowWidth="29040" windowHeight="15720" xr2:uid="{3000BFCB-6EE6-46BF-912F-205D8C94B23B}"/>
  </bookViews>
  <sheets>
    <sheet name="Instructions" sheetId="2" r:id="rId1"/>
    <sheet name="Directory" sheetId="1" r:id="rId2"/>
    <sheet name="References" sheetId="3" r:id="rId3"/>
  </sheets>
  <functionGroups builtInGroupCount="19"/>
  <definedNames>
    <definedName name="_xlnm._FilterDatabase" localSheetId="1" hidden="1">Directory!$A$1:$N$1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7" i="1" l="1"/>
  <c r="D26" i="1"/>
  <c r="D29" i="1"/>
  <c r="D28" i="1"/>
  <c r="D32" i="1"/>
  <c r="D31" i="1"/>
  <c r="D30" i="1"/>
  <c r="D9" i="1"/>
  <c r="D8" i="1"/>
  <c r="D25" i="1"/>
  <c r="D24" i="1"/>
  <c r="D16" i="1"/>
  <c r="D15" i="1"/>
  <c r="D14" i="1"/>
  <c r="D18" i="1"/>
  <c r="D17" i="1"/>
  <c r="D23" i="1"/>
  <c r="D22" i="1"/>
  <c r="D21" i="1"/>
  <c r="D20" i="1"/>
  <c r="D19" i="1"/>
  <c r="D11" i="1"/>
  <c r="D10" i="1"/>
  <c r="D7" i="1"/>
  <c r="D6" i="1"/>
  <c r="D5" i="1"/>
  <c r="D4" i="1"/>
  <c r="D3" i="1"/>
  <c r="D2" i="1"/>
</calcChain>
</file>

<file path=xl/sharedStrings.xml><?xml version="1.0" encoding="utf-8"?>
<sst xmlns="http://schemas.openxmlformats.org/spreadsheetml/2006/main" count="383" uniqueCount="206">
  <si>
    <t>First Name</t>
  </si>
  <si>
    <t>Email Address</t>
  </si>
  <si>
    <t>Home Phone Number</t>
  </si>
  <si>
    <t>Mobile Phone Number</t>
  </si>
  <si>
    <t>Street Address</t>
  </si>
  <si>
    <t>City</t>
  </si>
  <si>
    <t>State</t>
  </si>
  <si>
    <t>ZIP</t>
  </si>
  <si>
    <t>Birthday</t>
  </si>
  <si>
    <t>Priesthood Office</t>
  </si>
  <si>
    <t>Priesthood Offices</t>
  </si>
  <si>
    <t>Apostle</t>
  </si>
  <si>
    <t>Prophet</t>
  </si>
  <si>
    <t>President</t>
  </si>
  <si>
    <t>Elder</t>
  </si>
  <si>
    <t>High Priest</t>
  </si>
  <si>
    <t>Seventy</t>
  </si>
  <si>
    <t>Bishop</t>
  </si>
  <si>
    <t>Evangelist</t>
  </si>
  <si>
    <t>Priest</t>
  </si>
  <si>
    <t>Teacher</t>
  </si>
  <si>
    <t>Deacon</t>
  </si>
  <si>
    <t>Address ID</t>
  </si>
  <si>
    <t>Kansas City</t>
  </si>
  <si>
    <t>KS</t>
  </si>
  <si>
    <t>Household Name</t>
  </si>
  <si>
    <t>Last Name</t>
  </si>
  <si>
    <t>Header Page Info</t>
  </si>
  <si>
    <t>Zip</t>
  </si>
  <si>
    <t>States</t>
  </si>
  <si>
    <t>AL</t>
  </si>
  <si>
    <t>AK</t>
  </si>
  <si>
    <t>AZ</t>
  </si>
  <si>
    <t>AR</t>
  </si>
  <si>
    <t>CA</t>
  </si>
  <si>
    <t>CO</t>
  </si>
  <si>
    <t>CT</t>
  </si>
  <si>
    <t>DC</t>
  </si>
  <si>
    <t>DE</t>
  </si>
  <si>
    <t>FL</t>
  </si>
  <si>
    <t>GA</t>
  </si>
  <si>
    <t>HI</t>
  </si>
  <si>
    <t>IA</t>
  </si>
  <si>
    <t>ID</t>
  </si>
  <si>
    <t>IL</t>
  </si>
  <si>
    <t>IN</t>
  </si>
  <si>
    <t>KY</t>
  </si>
  <si>
    <t>LA</t>
  </si>
  <si>
    <t>MA</t>
  </si>
  <si>
    <t>MD</t>
  </si>
  <si>
    <t>ME</t>
  </si>
  <si>
    <t>MI</t>
  </si>
  <si>
    <t>MN</t>
  </si>
  <si>
    <t>MO</t>
  </si>
  <si>
    <t>MS</t>
  </si>
  <si>
    <t>MT</t>
  </si>
  <si>
    <t>NC</t>
  </si>
  <si>
    <t>ND</t>
  </si>
  <si>
    <t>NE</t>
  </si>
  <si>
    <t>NH</t>
  </si>
  <si>
    <t>NJ</t>
  </si>
  <si>
    <t>NM</t>
  </si>
  <si>
    <t>NV</t>
  </si>
  <si>
    <t>OH</t>
  </si>
  <si>
    <t>NY</t>
  </si>
  <si>
    <t>OK</t>
  </si>
  <si>
    <t>OR</t>
  </si>
  <si>
    <t>SC</t>
  </si>
  <si>
    <t>SD</t>
  </si>
  <si>
    <t>TN</t>
  </si>
  <si>
    <t>RI</t>
  </si>
  <si>
    <t>PA</t>
  </si>
  <si>
    <t>TX</t>
  </si>
  <si>
    <t>UT</t>
  </si>
  <si>
    <t>VA</t>
  </si>
  <si>
    <t>VT</t>
  </si>
  <si>
    <t>WA</t>
  </si>
  <si>
    <t>WI</t>
  </si>
  <si>
    <t>WV</t>
  </si>
  <si>
    <t>WY</t>
  </si>
  <si>
    <t>Options</t>
  </si>
  <si>
    <t>Include Priesthood Office Table</t>
  </si>
  <si>
    <t>Keep Word Document Open</t>
  </si>
  <si>
    <t>Generate PDF and Open</t>
  </si>
  <si>
    <t>Congregation Name*</t>
  </si>
  <si>
    <t>*Required</t>
  </si>
  <si>
    <t>Getting Started</t>
  </si>
  <si>
    <t>To use this tool, the "Microsoft Word XX.X Object Library" reference must be enabled.
Here, XX.X refers to the version number, such as 16.0. Choose whichever is available.
To make sure this is enabled, press the Generate Document button. If you get a 
"Run-time error '5941'" message, press Debug. This will open the VBA interface.
At the top of the screen, press the blue square that says "Reset" when you hover over it.
Then, at the top of the screen in the menu bar, choose Tools and then select References.
Find the "Microsoft Word XX.X Object Library" reference and enable it. 
You may then close the VBA interface and the open Word document.</t>
  </si>
  <si>
    <t>This workbook is macro enabled and therefore cannot be saved as an *.xlsx. 
The format must be *.xlsm.
In addition, the tab names and column positions on the Directory sheet
cannot be changed.</t>
  </si>
  <si>
    <t>Inserting Data into the Directory</t>
  </si>
  <si>
    <t>Most column headers I believe are self explanatory; 
however, there are a few that need explanation.</t>
  </si>
  <si>
    <t>The Household Name column will be inserted in the document in bold
and be the header for the family living at the address provided.
This is often the last name of the family. If the data entered in the Last Name
column is different than the Household Name, then it will be entered as such.</t>
  </si>
  <si>
    <t>The Address ID column is used to indicate when a Household line should be
inserted into the document. An Address ID of 1 should be entered once per
Household Name at a given address with an Address ID of 0 entered in all other cases.</t>
  </si>
  <si>
    <t>When finished entering data into the directory, press the Sort button on this sheet
to sort the data in the directory by Household Name and address.</t>
  </si>
  <si>
    <t>Generating the Document</t>
  </si>
  <si>
    <t>Before pressing the Generate Document button, review the data in the 
Header Page Info section and make sure everything is accurate.
Only the Congregation Name is required if the remaining information is to be omitted.</t>
  </si>
  <si>
    <t>Review the available Options. Enable options by pressing the checkmarks next to them.</t>
  </si>
  <si>
    <t>Finally, press the Generate Document button. The document will be saved to the directory
where this spreadsheet is saved.</t>
  </si>
  <si>
    <t>Advanced</t>
  </si>
  <si>
    <t>Besides the content of the directory and the Header Page Info/Options, the image
on the Header Page can also be changed.</t>
  </si>
  <si>
    <t>If it is desired to change the image on the Header Page, delete the current image from the
References sheet and insert the new image. Then, at the top left of the screen, 
change the name of the image (often "Picture X") to "Header_Image". 
With the image still selected, press enter. This will save the new name.</t>
  </si>
  <si>
    <t>Anderson</t>
  </si>
  <si>
    <t>Olathe</t>
  </si>
  <si>
    <t>John</t>
  </si>
  <si>
    <t>Andrew</t>
  </si>
  <si>
    <t>Davis</t>
  </si>
  <si>
    <t>Overland Park</t>
  </si>
  <si>
    <t>Anna</t>
  </si>
  <si>
    <t>Zach</t>
  </si>
  <si>
    <t>Baker</t>
  </si>
  <si>
    <t>Emily</t>
  </si>
  <si>
    <t>Use Wider Side Margins</t>
  </si>
  <si>
    <t>James</t>
  </si>
  <si>
    <t>Sam</t>
  </si>
  <si>
    <t>William</t>
  </si>
  <si>
    <t>123 Main Street</t>
  </si>
  <si>
    <t>12/1/74</t>
  </si>
  <si>
    <t>5/2/98</t>
  </si>
  <si>
    <t>3/5/73</t>
  </si>
  <si>
    <t>2/1/00</t>
  </si>
  <si>
    <t>3/9/01</t>
  </si>
  <si>
    <t>8/3/04</t>
  </si>
  <si>
    <t>Bill</t>
  </si>
  <si>
    <t>231 Spirit Ln</t>
  </si>
  <si>
    <t>4/2/03</t>
  </si>
  <si>
    <t>Burton</t>
  </si>
  <si>
    <t>Chris</t>
  </si>
  <si>
    <t>Melanie</t>
  </si>
  <si>
    <t>Andrea</t>
  </si>
  <si>
    <t>Ella</t>
  </si>
  <si>
    <t>450 Track Dr</t>
  </si>
  <si>
    <t>2/8/92</t>
  </si>
  <si>
    <t>4/7/93</t>
  </si>
  <si>
    <t>6/1/14</t>
  </si>
  <si>
    <t>9/4/15</t>
  </si>
  <si>
    <t>8/1/18</t>
  </si>
  <si>
    <t>Chase</t>
  </si>
  <si>
    <t>Stephan</t>
  </si>
  <si>
    <t>Scarlett</t>
  </si>
  <si>
    <t>Eric</t>
  </si>
  <si>
    <t>Bryn</t>
  </si>
  <si>
    <t>1204 Scotch St</t>
  </si>
  <si>
    <t>6/2/70</t>
  </si>
  <si>
    <t>8/2/95</t>
  </si>
  <si>
    <t>1/31/71</t>
  </si>
  <si>
    <t>9/30/96</t>
  </si>
  <si>
    <t>1/23/99</t>
  </si>
  <si>
    <t>5/14/02</t>
  </si>
  <si>
    <t>Carlson</t>
  </si>
  <si>
    <t>George</t>
  </si>
  <si>
    <t>Janet</t>
  </si>
  <si>
    <t>475 130th Ave</t>
  </si>
  <si>
    <t>8/7/47</t>
  </si>
  <si>
    <t>2/23/48</t>
  </si>
  <si>
    <t>6/1/67</t>
  </si>
  <si>
    <t>Sean</t>
  </si>
  <si>
    <t>Jessica</t>
  </si>
  <si>
    <t>Warner-Carlson</t>
  </si>
  <si>
    <t>6301 170th St</t>
  </si>
  <si>
    <t>5/8/69</t>
  </si>
  <si>
    <t>11/2/96</t>
  </si>
  <si>
    <t>9/30/70</t>
  </si>
  <si>
    <t>Grace</t>
  </si>
  <si>
    <t>11/6/00</t>
  </si>
  <si>
    <t>Daniel</t>
  </si>
  <si>
    <t>Margaret</t>
  </si>
  <si>
    <t>78 Oak St</t>
  </si>
  <si>
    <t>66001</t>
  </si>
  <si>
    <t>12/6/42</t>
  </si>
  <si>
    <t>4/1/41</t>
  </si>
  <si>
    <t>6/3/63</t>
  </si>
  <si>
    <t>Bauer</t>
  </si>
  <si>
    <t>Kara</t>
  </si>
  <si>
    <t>189 Schwab Way</t>
  </si>
  <si>
    <t>66002</t>
  </si>
  <si>
    <t>5/8/53</t>
  </si>
  <si>
    <t>9/25/54</t>
  </si>
  <si>
    <t>10/26/75</t>
  </si>
  <si>
    <t>The Congregation</t>
  </si>
  <si>
    <t>1234 Congregation Way</t>
  </si>
  <si>
    <t>pastor@congregation.org</t>
  </si>
  <si>
    <t>Kemp</t>
  </si>
  <si>
    <t>Esther</t>
  </si>
  <si>
    <t>Helena</t>
  </si>
  <si>
    <t>65 Maple Dr</t>
  </si>
  <si>
    <t>6/4/80</t>
  </si>
  <si>
    <t>5/9/01</t>
  </si>
  <si>
    <t>11/3/79</t>
  </si>
  <si>
    <t>12/29/04</t>
  </si>
  <si>
    <t>Gordon</t>
  </si>
  <si>
    <t>Ethan</t>
  </si>
  <si>
    <t>Arianna</t>
  </si>
  <si>
    <t>791 Prime Ln</t>
  </si>
  <si>
    <t>3/1/97</t>
  </si>
  <si>
    <t>7/6/20</t>
  </si>
  <si>
    <t>11/8/98</t>
  </si>
  <si>
    <t>Frazier</t>
  </si>
  <si>
    <t>Jay</t>
  </si>
  <si>
    <t>Lilly</t>
  </si>
  <si>
    <t>456 Merlock Way</t>
  </si>
  <si>
    <t>66000</t>
  </si>
  <si>
    <t>12/7/92</t>
  </si>
  <si>
    <t>4/9/17</t>
  </si>
  <si>
    <t>11/3/93</t>
  </si>
  <si>
    <t>Anniversary</t>
  </si>
  <si>
    <t>Include Extra Row on 
Priesthood Office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</si>
</sst>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99]###\-####;\(###\)\ ###\-####"/>
  </numFmts>
  <fonts count="7" x14ac:knownFonts="1">
    <font>
      <sz val="11"/>
      <color theme="1"/>
      <name val="Aptos Narrow"/>
      <family val="2"/>
      <scheme val="minor"/>
    </font>
    <font>
      <b/>
      <sz val="11"/>
      <color theme="1"/>
      <name val="Aptos Narrow"/>
      <family val="2"/>
      <scheme val="minor"/>
    </font>
    <font>
      <sz val="8"/>
      <name val="Aptos Narrow"/>
      <family val="2"/>
      <scheme val="minor"/>
    </font>
    <font>
      <sz val="11"/>
      <color rgb="FF000000"/>
      <name val="Aptos Narrow"/>
      <family val="2"/>
    </font>
    <font>
      <b/>
      <u/>
      <sz val="11"/>
      <color theme="1"/>
      <name val="Aptos Narrow"/>
      <family val="2"/>
      <scheme val="minor"/>
    </font>
    <font>
      <i/>
      <sz val="11"/>
      <color theme="1"/>
      <name val="Aptos Narrow"/>
      <family val="2"/>
      <scheme val="minor"/>
    </font>
    <font>
      <u/>
      <sz val="11"/>
      <color theme="10"/>
      <name val="Aptos Narrow"/>
      <family val="2"/>
      <scheme val="minor"/>
    </font>
  </fonts>
  <fills count="2">
    <fill>
      <patternFill patternType="none"/>
    </fill>
    <fill>
      <patternFill patternType="gray125"/>
    </fill>
  </fills>
  <borders count="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24">
    <xf numFmtId="0" fontId="0" fillId="0" borderId="0" xfId="0"/>
    <xf numFmtId="0" fontId="1" fillId="0" borderId="0" xfId="0" applyFont="1"/>
    <xf numFmtId="14" fontId="0" fillId="0" borderId="0" xfId="0" applyNumberFormat="1"/>
    <xf numFmtId="164" fontId="0" fillId="0" borderId="0" xfId="0" applyNumberFormat="1"/>
    <xf numFmtId="0" fontId="0" fillId="0" borderId="4" xfId="0" applyBorder="1" applyAlignment="1">
      <alignment horizontal="right"/>
    </xf>
    <xf numFmtId="0" fontId="0" fillId="0" borderId="0" xfId="0">
      <extLst>
        <ext xmlns:xfpb="http://schemas.microsoft.com/office/spreadsheetml/2022/featurepropertybag" uri="{C7286773-470A-42A8-94C5-96B5CB345126}">
          <xfpb:xfComplement i="0"/>
        </ext>
      </extLst>
    </xf>
    <xf numFmtId="0" fontId="5" fillId="0" borderId="3" xfId="0" applyFont="1" applyBorder="1" applyAlignment="1">
      <alignment horizontal="left"/>
    </xf>
    <xf numFmtId="0" fontId="5" fillId="0" borderId="5" xfId="0" applyFont="1" applyBorder="1" applyAlignment="1">
      <alignment horizontal="left"/>
    </xf>
    <xf numFmtId="0" fontId="5" fillId="0" borderId="0" xfId="0" applyFont="1" applyAlignment="1">
      <alignment horizontal="left"/>
    </xf>
    <xf numFmtId="0" fontId="6" fillId="0" borderId="0" xfId="1"/>
    <xf numFmtId="0" fontId="1" fillId="0" borderId="0" xfId="0" applyFont="1" applyAlignment="1">
      <alignment horizontal="center" vertical="center"/>
    </xf>
    <xf numFmtId="49" fontId="0" fillId="0" borderId="0" xfId="0" applyNumberFormat="1" applyAlignment="1">
      <alignment horizontal="right"/>
    </xf>
    <xf numFmtId="49" fontId="0" fillId="0" borderId="0" xfId="0" applyNumberFormat="1"/>
    <xf numFmtId="0" fontId="6" fillId="0" borderId="6" xfId="1" applyBorder="1" applyAlignment="1">
      <alignment horizontal="right"/>
    </xf>
    <xf numFmtId="0" fontId="0" fillId="0" borderId="0" xfId="0" applyAlignment="1">
      <alignment wrapText="1"/>
    </xf>
    <xf numFmtId="0" fontId="0" fillId="0" borderId="0" xfId="0" applyAlignment="1">
      <alignment horizontal="center" vertical="center"/>
      <extLst>
        <ext xmlns:xfpb="http://schemas.microsoft.com/office/spreadsheetml/2022/featurepropertybag" uri="{C7286773-470A-42A8-94C5-96B5CB345126}">
          <xfpb:xfComplement i="0"/>
        </ext>
      </extLst>
    </xf>
    <xf numFmtId="0" fontId="4" fillId="0" borderId="1" xfId="0" applyFont="1" applyBorder="1" applyAlignment="1">
      <alignment horizontal="center"/>
    </xf>
    <xf numFmtId="0" fontId="4" fillId="0" borderId="2" xfId="0" applyFont="1" applyBorder="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0" xfId="0" applyAlignment="1">
      <alignment horizontal="center" wrapText="1"/>
    </xf>
    <xf numFmtId="1" fontId="1" fillId="0" borderId="0" xfId="0" applyNumberFormat="1" applyFont="1" applyAlignment="1">
      <alignment horizontal="center" vertical="center"/>
    </xf>
    <xf numFmtId="0" fontId="1" fillId="0" borderId="0" xfId="0" applyFont="1" applyAlignment="1">
      <alignment horizontal="center" vertical="center"/>
    </xf>
    <xf numFmtId="0" fontId="0" fillId="0" borderId="0" xfId="0"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847725</xdr:colOff>
          <xdr:row>21</xdr:row>
          <xdr:rowOff>104775</xdr:rowOff>
        </xdr:from>
        <xdr:to>
          <xdr:col>17</xdr:col>
          <xdr:colOff>1085850</xdr:colOff>
          <xdr:row>25</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866775</xdr:colOff>
          <xdr:row>17</xdr:row>
          <xdr:rowOff>38100</xdr:rowOff>
        </xdr:from>
        <xdr:to>
          <xdr:col>17</xdr:col>
          <xdr:colOff>1104900</xdr:colOff>
          <xdr:row>21</xdr:row>
          <xdr:rowOff>57150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a:t>
              </a:r>
            </a:p>
          </xdr:txBody>
        </xdr:sp>
        <xdr:clientData fPrintsWithSheet="0"/>
      </xdr:twoCellAnchor>
    </mc:Choice>
    <mc:Fallback/>
  </mc:AlternateContent>
  <xdr:twoCellAnchor editAs="oneCell">
    <xdr:from>
      <xdr:col>1</xdr:col>
      <xdr:colOff>523875</xdr:colOff>
      <xdr:row>13</xdr:row>
      <xdr:rowOff>38100</xdr:rowOff>
    </xdr:from>
    <xdr:to>
      <xdr:col>9</xdr:col>
      <xdr:colOff>95871</xdr:colOff>
      <xdr:row>17</xdr:row>
      <xdr:rowOff>19180</xdr:rowOff>
    </xdr:to>
    <xdr:pic>
      <xdr:nvPicPr>
        <xdr:cNvPr id="3" name="Picture 2">
          <a:extLst>
            <a:ext uri="{FF2B5EF4-FFF2-40B4-BE49-F238E27FC236}">
              <a16:creationId xmlns:a16="http://schemas.microsoft.com/office/drawing/2014/main" id="{9255B167-F07B-8050-7A5D-FF2F898A5072}"/>
            </a:ext>
          </a:extLst>
        </xdr:cNvPr>
        <xdr:cNvPicPr>
          <a:picLocks noChangeAspect="1"/>
        </xdr:cNvPicPr>
      </xdr:nvPicPr>
      <xdr:blipFill>
        <a:blip xmlns:r="http://schemas.openxmlformats.org/officeDocument/2006/relationships" r:embed="rId1"/>
        <a:stretch>
          <a:fillRect/>
        </a:stretch>
      </xdr:blipFill>
      <xdr:spPr>
        <a:xfrm>
          <a:off x="1133475" y="2533650"/>
          <a:ext cx="4448796" cy="933580"/>
        </a:xfrm>
        <a:prstGeom prst="rect">
          <a:avLst/>
        </a:prstGeom>
      </xdr:spPr>
    </xdr:pic>
    <xdr:clientData/>
  </xdr:twoCellAnchor>
  <xdr:twoCellAnchor editAs="oneCell">
    <xdr:from>
      <xdr:col>10</xdr:col>
      <xdr:colOff>57150</xdr:colOff>
      <xdr:row>2</xdr:row>
      <xdr:rowOff>152400</xdr:rowOff>
    </xdr:from>
    <xdr:to>
      <xdr:col>15</xdr:col>
      <xdr:colOff>553040</xdr:colOff>
      <xdr:row>16</xdr:row>
      <xdr:rowOff>341318</xdr:rowOff>
    </xdr:to>
    <xdr:pic>
      <xdr:nvPicPr>
        <xdr:cNvPr id="4" name="Picture 3">
          <a:extLst>
            <a:ext uri="{FF2B5EF4-FFF2-40B4-BE49-F238E27FC236}">
              <a16:creationId xmlns:a16="http://schemas.microsoft.com/office/drawing/2014/main" id="{639A069B-7171-A9ED-56F0-AE3FEC54D07D}"/>
            </a:ext>
          </a:extLst>
        </xdr:cNvPr>
        <xdr:cNvPicPr>
          <a:picLocks noChangeAspect="1"/>
        </xdr:cNvPicPr>
      </xdr:nvPicPr>
      <xdr:blipFill>
        <a:blip xmlns:r="http://schemas.openxmlformats.org/officeDocument/2006/relationships" r:embed="rId2"/>
        <a:stretch>
          <a:fillRect/>
        </a:stretch>
      </xdr:blipFill>
      <xdr:spPr>
        <a:xfrm>
          <a:off x="6153150" y="542925"/>
          <a:ext cx="3543890" cy="2865443"/>
        </a:xfrm>
        <a:prstGeom prst="rect">
          <a:avLst/>
        </a:prstGeom>
      </xdr:spPr>
    </xdr:pic>
    <xdr:clientData/>
  </xdr:twoCellAnchor>
  <xdr:twoCellAnchor editAs="oneCell">
    <xdr:from>
      <xdr:col>10</xdr:col>
      <xdr:colOff>85726</xdr:colOff>
      <xdr:row>22</xdr:row>
      <xdr:rowOff>123825</xdr:rowOff>
    </xdr:from>
    <xdr:to>
      <xdr:col>15</xdr:col>
      <xdr:colOff>523876</xdr:colOff>
      <xdr:row>27</xdr:row>
      <xdr:rowOff>54280</xdr:rowOff>
    </xdr:to>
    <xdr:pic>
      <xdr:nvPicPr>
        <xdr:cNvPr id="5" name="Picture 4">
          <a:extLst>
            <a:ext uri="{FF2B5EF4-FFF2-40B4-BE49-F238E27FC236}">
              <a16:creationId xmlns:a16="http://schemas.microsoft.com/office/drawing/2014/main" id="{83ADB2C7-D506-94DB-5FB7-0FBC9C2D0CF7}"/>
            </a:ext>
          </a:extLst>
        </xdr:cNvPr>
        <xdr:cNvPicPr>
          <a:picLocks noChangeAspect="1"/>
        </xdr:cNvPicPr>
      </xdr:nvPicPr>
      <xdr:blipFill>
        <a:blip xmlns:r="http://schemas.openxmlformats.org/officeDocument/2006/relationships" r:embed="rId3"/>
        <a:stretch>
          <a:fillRect/>
        </a:stretch>
      </xdr:blipFill>
      <xdr:spPr>
        <a:xfrm>
          <a:off x="6181726" y="4333875"/>
          <a:ext cx="3486150" cy="88295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847725</xdr:colOff>
          <xdr:row>26</xdr:row>
          <xdr:rowOff>9525</xdr:rowOff>
        </xdr:from>
        <xdr:to>
          <xdr:col>17</xdr:col>
          <xdr:colOff>1085850</xdr:colOff>
          <xdr:row>30</xdr:row>
          <xdr:rowOff>28575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Birthday Doc</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57150</xdr:colOff>
      <xdr:row>1</xdr:row>
      <xdr:rowOff>0</xdr:rowOff>
    </xdr:from>
    <xdr:to>
      <xdr:col>15</xdr:col>
      <xdr:colOff>514350</xdr:colOff>
      <xdr:row>16</xdr:row>
      <xdr:rowOff>73147</xdr:rowOff>
    </xdr:to>
    <xdr:pic>
      <xdr:nvPicPr>
        <xdr:cNvPr id="3" name="Header_Image">
          <a:extLst>
            <a:ext uri="{FF2B5EF4-FFF2-40B4-BE49-F238E27FC236}">
              <a16:creationId xmlns:a16="http://schemas.microsoft.com/office/drawing/2014/main" id="{AF81DF27-4CEF-63D8-C44D-A7DA0DE740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6025" y="190500"/>
          <a:ext cx="7772400" cy="2930647"/>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pastor@congregation.org"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4FA0B-E256-47D6-A652-C1AD5461FD09}">
  <sheetPr codeName="Sheet1"/>
  <dimension ref="A1:R47"/>
  <sheetViews>
    <sheetView tabSelected="1" workbookViewId="0">
      <selection activeCell="O32" sqref="O32"/>
    </sheetView>
  </sheetViews>
  <sheetFormatPr defaultRowHeight="15" x14ac:dyDescent="0.25"/>
  <cols>
    <col min="1" max="1" width="9.140625" customWidth="1"/>
    <col min="17" max="18" width="31.42578125" customWidth="1"/>
    <col min="19" max="20" width="9.140625" customWidth="1"/>
  </cols>
  <sheetData>
    <row r="1" spans="1:18" x14ac:dyDescent="0.25">
      <c r="B1" s="19" t="s">
        <v>86</v>
      </c>
      <c r="C1" s="19"/>
      <c r="D1" s="19"/>
      <c r="E1" s="19"/>
      <c r="F1" s="19"/>
      <c r="G1" s="19"/>
      <c r="H1" s="19"/>
      <c r="I1" s="19"/>
      <c r="J1" s="19"/>
    </row>
    <row r="2" spans="1:18" ht="15.75" customHeight="1" thickBot="1" x14ac:dyDescent="0.3">
      <c r="A2" s="21">
        <v>1</v>
      </c>
      <c r="B2" s="20" t="s">
        <v>88</v>
      </c>
      <c r="C2" s="20"/>
      <c r="D2" s="20"/>
      <c r="E2" s="20"/>
      <c r="F2" s="20"/>
      <c r="G2" s="20"/>
      <c r="H2" s="20"/>
      <c r="I2" s="20"/>
      <c r="J2" s="20"/>
    </row>
    <row r="3" spans="1:18" x14ac:dyDescent="0.25">
      <c r="A3" s="21"/>
      <c r="B3" s="20"/>
      <c r="C3" s="20"/>
      <c r="D3" s="20"/>
      <c r="E3" s="20"/>
      <c r="F3" s="20"/>
      <c r="G3" s="20"/>
      <c r="H3" s="20"/>
      <c r="I3" s="20"/>
      <c r="J3" s="20"/>
      <c r="Q3" s="16" t="s">
        <v>27</v>
      </c>
      <c r="R3" s="17"/>
    </row>
    <row r="4" spans="1:18" ht="15" customHeight="1" x14ac:dyDescent="0.25">
      <c r="A4" s="21"/>
      <c r="B4" s="20"/>
      <c r="C4" s="20"/>
      <c r="D4" s="20"/>
      <c r="E4" s="20"/>
      <c r="F4" s="20"/>
      <c r="G4" s="20"/>
      <c r="H4" s="20"/>
      <c r="I4" s="20"/>
      <c r="J4" s="20"/>
      <c r="Q4" s="6" t="s">
        <v>84</v>
      </c>
      <c r="R4" s="4" t="s">
        <v>178</v>
      </c>
    </row>
    <row r="5" spans="1:18" x14ac:dyDescent="0.25">
      <c r="A5" s="21">
        <v>2</v>
      </c>
      <c r="B5" s="20" t="s">
        <v>87</v>
      </c>
      <c r="C5" s="20"/>
      <c r="D5" s="20"/>
      <c r="E5" s="20"/>
      <c r="F5" s="20"/>
      <c r="G5" s="20"/>
      <c r="H5" s="20"/>
      <c r="I5" s="20"/>
      <c r="J5" s="20"/>
      <c r="Q5" s="6" t="s">
        <v>4</v>
      </c>
      <c r="R5" s="4" t="s">
        <v>179</v>
      </c>
    </row>
    <row r="6" spans="1:18" x14ac:dyDescent="0.25">
      <c r="A6" s="21"/>
      <c r="B6" s="20"/>
      <c r="C6" s="20"/>
      <c r="D6" s="20"/>
      <c r="E6" s="20"/>
      <c r="F6" s="20"/>
      <c r="G6" s="20"/>
      <c r="H6" s="20"/>
      <c r="I6" s="20"/>
      <c r="J6" s="20"/>
      <c r="Q6" s="6" t="s">
        <v>5</v>
      </c>
      <c r="R6" s="4" t="s">
        <v>23</v>
      </c>
    </row>
    <row r="7" spans="1:18" x14ac:dyDescent="0.25">
      <c r="A7" s="21"/>
      <c r="B7" s="20"/>
      <c r="C7" s="20"/>
      <c r="D7" s="20"/>
      <c r="E7" s="20"/>
      <c r="F7" s="20"/>
      <c r="G7" s="20"/>
      <c r="H7" s="20"/>
      <c r="I7" s="20"/>
      <c r="J7" s="20"/>
      <c r="Q7" s="6" t="s">
        <v>6</v>
      </c>
      <c r="R7" s="4" t="s">
        <v>24</v>
      </c>
    </row>
    <row r="8" spans="1:18" x14ac:dyDescent="0.25">
      <c r="A8" s="21"/>
      <c r="B8" s="20"/>
      <c r="C8" s="20"/>
      <c r="D8" s="20"/>
      <c r="E8" s="20"/>
      <c r="F8" s="20"/>
      <c r="G8" s="20"/>
      <c r="H8" s="20"/>
      <c r="I8" s="20"/>
      <c r="J8" s="20"/>
      <c r="Q8" s="6" t="s">
        <v>28</v>
      </c>
      <c r="R8" s="4">
        <v>66000</v>
      </c>
    </row>
    <row r="9" spans="1:18" ht="15.75" thickBot="1" x14ac:dyDescent="0.3">
      <c r="A9" s="21"/>
      <c r="B9" s="20"/>
      <c r="C9" s="20"/>
      <c r="D9" s="20"/>
      <c r="E9" s="20"/>
      <c r="F9" s="20"/>
      <c r="G9" s="20"/>
      <c r="H9" s="20"/>
      <c r="I9" s="20"/>
      <c r="J9" s="20"/>
      <c r="Q9" s="7" t="s">
        <v>1</v>
      </c>
      <c r="R9" s="13" t="s">
        <v>180</v>
      </c>
    </row>
    <row r="10" spans="1:18" x14ac:dyDescent="0.25">
      <c r="A10" s="21"/>
      <c r="B10" s="20"/>
      <c r="C10" s="20"/>
      <c r="D10" s="20"/>
      <c r="E10" s="20"/>
      <c r="F10" s="20"/>
      <c r="G10" s="20"/>
      <c r="H10" s="20"/>
      <c r="I10" s="20"/>
      <c r="J10" s="20"/>
      <c r="Q10" s="8" t="s">
        <v>85</v>
      </c>
    </row>
    <row r="11" spans="1:18" x14ac:dyDescent="0.25">
      <c r="A11" s="21"/>
      <c r="B11" s="20"/>
      <c r="C11" s="20"/>
      <c r="D11" s="20"/>
      <c r="E11" s="20"/>
      <c r="F11" s="20"/>
      <c r="G11" s="20"/>
      <c r="H11" s="20"/>
      <c r="I11" s="20"/>
      <c r="J11" s="20"/>
    </row>
    <row r="12" spans="1:18" x14ac:dyDescent="0.25">
      <c r="A12" s="21"/>
      <c r="B12" s="20"/>
      <c r="C12" s="20"/>
      <c r="D12" s="20"/>
      <c r="E12" s="20"/>
      <c r="F12" s="20"/>
      <c r="G12" s="20"/>
      <c r="H12" s="20"/>
      <c r="I12" s="20"/>
      <c r="J12" s="20"/>
      <c r="Q12" s="18" t="s">
        <v>80</v>
      </c>
      <c r="R12" s="18"/>
    </row>
    <row r="13" spans="1:18" x14ac:dyDescent="0.25">
      <c r="A13" s="21"/>
      <c r="B13" s="20"/>
      <c r="C13" s="20"/>
      <c r="D13" s="20"/>
      <c r="E13" s="20"/>
      <c r="F13" s="20"/>
      <c r="G13" s="20"/>
      <c r="H13" s="20"/>
      <c r="I13" s="20"/>
      <c r="J13" s="20"/>
      <c r="Q13" t="s">
        <v>81</v>
      </c>
      <c r="R13" s="5" t="b">
        <v>1</v>
      </c>
    </row>
    <row r="14" spans="1:18" x14ac:dyDescent="0.25">
      <c r="Q14" t="s">
        <v>82</v>
      </c>
      <c r="R14" s="5" t="b">
        <v>1</v>
      </c>
    </row>
    <row r="15" spans="1:18" x14ac:dyDescent="0.25">
      <c r="Q15" t="s">
        <v>83</v>
      </c>
      <c r="R15" s="5" t="b">
        <v>0</v>
      </c>
    </row>
    <row r="16" spans="1:18" x14ac:dyDescent="0.25">
      <c r="Q16" t="s">
        <v>111</v>
      </c>
      <c r="R16" s="5" t="b">
        <v>0</v>
      </c>
    </row>
    <row r="17" spans="1:18" ht="30" x14ac:dyDescent="0.25">
      <c r="Q17" s="14" t="s">
        <v>205</v>
      </c>
      <c r="R17" s="15" t="b">
        <v>0</v>
      </c>
    </row>
    <row r="20" spans="1:18" x14ac:dyDescent="0.25">
      <c r="B20" s="19" t="s">
        <v>89</v>
      </c>
      <c r="C20" s="19"/>
      <c r="D20" s="19"/>
      <c r="E20" s="19"/>
      <c r="F20" s="19"/>
      <c r="G20" s="19"/>
      <c r="H20" s="19"/>
      <c r="I20" s="19"/>
      <c r="J20" s="19"/>
    </row>
    <row r="21" spans="1:18" ht="15" customHeight="1" x14ac:dyDescent="0.25">
      <c r="A21" s="22">
        <v>1</v>
      </c>
      <c r="B21" s="20" t="s">
        <v>90</v>
      </c>
      <c r="C21" s="20"/>
      <c r="D21" s="20"/>
      <c r="E21" s="20"/>
      <c r="F21" s="20"/>
      <c r="G21" s="20"/>
      <c r="H21" s="20"/>
      <c r="I21" s="20"/>
      <c r="J21" s="20"/>
    </row>
    <row r="22" spans="1:18" x14ac:dyDescent="0.25">
      <c r="A22" s="22"/>
      <c r="B22" s="20"/>
      <c r="C22" s="20"/>
      <c r="D22" s="20"/>
      <c r="E22" s="20"/>
      <c r="F22" s="20"/>
      <c r="G22" s="20"/>
      <c r="H22" s="20"/>
      <c r="I22" s="20"/>
      <c r="J22" s="20"/>
    </row>
    <row r="23" spans="1:18" ht="15" customHeight="1" x14ac:dyDescent="0.25">
      <c r="A23" s="22">
        <v>2</v>
      </c>
      <c r="B23" s="20" t="s">
        <v>91</v>
      </c>
      <c r="C23" s="20"/>
      <c r="D23" s="20"/>
      <c r="E23" s="20"/>
      <c r="F23" s="20"/>
      <c r="G23" s="20"/>
      <c r="H23" s="20"/>
      <c r="I23" s="20"/>
      <c r="J23" s="20"/>
    </row>
    <row r="24" spans="1:18" x14ac:dyDescent="0.25">
      <c r="A24" s="22"/>
      <c r="B24" s="20"/>
      <c r="C24" s="20"/>
      <c r="D24" s="20"/>
      <c r="E24" s="20"/>
      <c r="F24" s="20"/>
      <c r="G24" s="20"/>
      <c r="H24" s="20"/>
      <c r="I24" s="20"/>
      <c r="J24" s="20"/>
    </row>
    <row r="25" spans="1:18" x14ac:dyDescent="0.25">
      <c r="A25" s="22"/>
      <c r="B25" s="20"/>
      <c r="C25" s="20"/>
      <c r="D25" s="20"/>
      <c r="E25" s="20"/>
      <c r="F25" s="20"/>
      <c r="G25" s="20"/>
      <c r="H25" s="20"/>
      <c r="I25" s="20"/>
      <c r="J25" s="20"/>
    </row>
    <row r="26" spans="1:18" x14ac:dyDescent="0.25">
      <c r="A26" s="22"/>
      <c r="B26" s="20"/>
      <c r="C26" s="20"/>
      <c r="D26" s="20"/>
      <c r="E26" s="20"/>
      <c r="F26" s="20"/>
      <c r="G26" s="20"/>
      <c r="H26" s="20"/>
      <c r="I26" s="20"/>
      <c r="J26" s="20"/>
    </row>
    <row r="27" spans="1:18" ht="15" customHeight="1" x14ac:dyDescent="0.25">
      <c r="A27" s="22">
        <v>3</v>
      </c>
      <c r="B27" s="20" t="s">
        <v>92</v>
      </c>
      <c r="C27" s="20"/>
      <c r="D27" s="20"/>
      <c r="E27" s="20"/>
      <c r="F27" s="20"/>
      <c r="G27" s="20"/>
      <c r="H27" s="20"/>
      <c r="I27" s="20"/>
      <c r="J27" s="20"/>
    </row>
    <row r="28" spans="1:18" x14ac:dyDescent="0.25">
      <c r="A28" s="22"/>
      <c r="B28" s="20"/>
      <c r="C28" s="20"/>
      <c r="D28" s="20"/>
      <c r="E28" s="20"/>
      <c r="F28" s="20"/>
      <c r="G28" s="20"/>
      <c r="H28" s="20"/>
      <c r="I28" s="20"/>
      <c r="J28" s="20"/>
    </row>
    <row r="29" spans="1:18" x14ac:dyDescent="0.25">
      <c r="A29" s="22"/>
      <c r="B29" s="20"/>
      <c r="C29" s="20"/>
      <c r="D29" s="20"/>
      <c r="E29" s="20"/>
      <c r="F29" s="20"/>
      <c r="G29" s="20"/>
      <c r="H29" s="20"/>
      <c r="I29" s="20"/>
      <c r="J29" s="20"/>
    </row>
    <row r="30" spans="1:18" ht="15" customHeight="1" x14ac:dyDescent="0.25">
      <c r="A30" s="22">
        <v>4</v>
      </c>
      <c r="B30" s="20" t="s">
        <v>93</v>
      </c>
      <c r="C30" s="20"/>
      <c r="D30" s="20"/>
      <c r="E30" s="20"/>
      <c r="F30" s="20"/>
      <c r="G30" s="20"/>
      <c r="H30" s="20"/>
      <c r="I30" s="20"/>
      <c r="J30" s="20"/>
    </row>
    <row r="31" spans="1:18" x14ac:dyDescent="0.25">
      <c r="A31" s="22"/>
      <c r="B31" s="20"/>
      <c r="C31" s="20"/>
      <c r="D31" s="20"/>
      <c r="E31" s="20"/>
      <c r="F31" s="20"/>
      <c r="G31" s="20"/>
      <c r="H31" s="20"/>
      <c r="I31" s="20"/>
      <c r="J31" s="20"/>
    </row>
    <row r="33" spans="1:10" x14ac:dyDescent="0.25">
      <c r="B33" s="19" t="s">
        <v>94</v>
      </c>
      <c r="C33" s="19"/>
      <c r="D33" s="19"/>
      <c r="E33" s="19"/>
      <c r="F33" s="19"/>
      <c r="G33" s="19"/>
      <c r="H33" s="19"/>
      <c r="I33" s="19"/>
      <c r="J33" s="19"/>
    </row>
    <row r="34" spans="1:10" ht="15" customHeight="1" x14ac:dyDescent="0.25">
      <c r="A34" s="22">
        <v>1</v>
      </c>
      <c r="B34" s="20" t="s">
        <v>95</v>
      </c>
      <c r="C34" s="20"/>
      <c r="D34" s="20"/>
      <c r="E34" s="20"/>
      <c r="F34" s="20"/>
      <c r="G34" s="20"/>
      <c r="H34" s="20"/>
      <c r="I34" s="20"/>
      <c r="J34" s="20"/>
    </row>
    <row r="35" spans="1:10" x14ac:dyDescent="0.25">
      <c r="A35" s="22"/>
      <c r="B35" s="20"/>
      <c r="C35" s="20"/>
      <c r="D35" s="20"/>
      <c r="E35" s="20"/>
      <c r="F35" s="20"/>
      <c r="G35" s="20"/>
      <c r="H35" s="20"/>
      <c r="I35" s="20"/>
      <c r="J35" s="20"/>
    </row>
    <row r="36" spans="1:10" x14ac:dyDescent="0.25">
      <c r="A36" s="22"/>
      <c r="B36" s="20"/>
      <c r="C36" s="20"/>
      <c r="D36" s="20"/>
      <c r="E36" s="20"/>
      <c r="F36" s="20"/>
      <c r="G36" s="20"/>
      <c r="H36" s="20"/>
      <c r="I36" s="20"/>
      <c r="J36" s="20"/>
    </row>
    <row r="37" spans="1:10" x14ac:dyDescent="0.25">
      <c r="A37" s="10">
        <v>2</v>
      </c>
      <c r="B37" s="23" t="s">
        <v>96</v>
      </c>
      <c r="C37" s="23"/>
      <c r="D37" s="23"/>
      <c r="E37" s="23"/>
      <c r="F37" s="23"/>
      <c r="G37" s="23"/>
      <c r="H37" s="23"/>
      <c r="I37" s="23"/>
      <c r="J37" s="23"/>
    </row>
    <row r="38" spans="1:10" ht="15" customHeight="1" x14ac:dyDescent="0.25">
      <c r="A38" s="22">
        <v>3</v>
      </c>
      <c r="B38" s="20" t="s">
        <v>97</v>
      </c>
      <c r="C38" s="20"/>
      <c r="D38" s="20"/>
      <c r="E38" s="20"/>
      <c r="F38" s="20"/>
      <c r="G38" s="20"/>
      <c r="H38" s="20"/>
      <c r="I38" s="20"/>
      <c r="J38" s="20"/>
    </row>
    <row r="39" spans="1:10" x14ac:dyDescent="0.25">
      <c r="A39" s="22"/>
      <c r="B39" s="20"/>
      <c r="C39" s="20"/>
      <c r="D39" s="20"/>
      <c r="E39" s="20"/>
      <c r="F39" s="20"/>
      <c r="G39" s="20"/>
      <c r="H39" s="20"/>
      <c r="I39" s="20"/>
      <c r="J39" s="20"/>
    </row>
    <row r="41" spans="1:10" x14ac:dyDescent="0.25">
      <c r="B41" s="19" t="s">
        <v>98</v>
      </c>
      <c r="C41" s="23"/>
      <c r="D41" s="23"/>
      <c r="E41" s="23"/>
      <c r="F41" s="23"/>
      <c r="G41" s="23"/>
      <c r="H41" s="23"/>
      <c r="I41" s="23"/>
      <c r="J41" s="23"/>
    </row>
    <row r="42" spans="1:10" ht="15" customHeight="1" x14ac:dyDescent="0.25">
      <c r="A42" s="22">
        <v>1</v>
      </c>
      <c r="B42" s="20" t="s">
        <v>99</v>
      </c>
      <c r="C42" s="20"/>
      <c r="D42" s="20"/>
      <c r="E42" s="20"/>
      <c r="F42" s="20"/>
      <c r="G42" s="20"/>
      <c r="H42" s="20"/>
      <c r="I42" s="20"/>
      <c r="J42" s="20"/>
    </row>
    <row r="43" spans="1:10" x14ac:dyDescent="0.25">
      <c r="A43" s="22"/>
      <c r="B43" s="20"/>
      <c r="C43" s="20"/>
      <c r="D43" s="20"/>
      <c r="E43" s="20"/>
      <c r="F43" s="20"/>
      <c r="G43" s="20"/>
      <c r="H43" s="20"/>
      <c r="I43" s="20"/>
      <c r="J43" s="20"/>
    </row>
    <row r="44" spans="1:10" ht="15" customHeight="1" x14ac:dyDescent="0.25">
      <c r="A44" s="22">
        <v>2</v>
      </c>
      <c r="B44" s="20" t="s">
        <v>100</v>
      </c>
      <c r="C44" s="20"/>
      <c r="D44" s="20"/>
      <c r="E44" s="20"/>
      <c r="F44" s="20"/>
      <c r="G44" s="20"/>
      <c r="H44" s="20"/>
      <c r="I44" s="20"/>
      <c r="J44" s="20"/>
    </row>
    <row r="45" spans="1:10" x14ac:dyDescent="0.25">
      <c r="A45" s="22"/>
      <c r="B45" s="20"/>
      <c r="C45" s="20"/>
      <c r="D45" s="20"/>
      <c r="E45" s="20"/>
      <c r="F45" s="20"/>
      <c r="G45" s="20"/>
      <c r="H45" s="20"/>
      <c r="I45" s="20"/>
      <c r="J45" s="20"/>
    </row>
    <row r="46" spans="1:10" x14ac:dyDescent="0.25">
      <c r="A46" s="22"/>
      <c r="B46" s="20"/>
      <c r="C46" s="20"/>
      <c r="D46" s="20"/>
      <c r="E46" s="20"/>
      <c r="F46" s="20"/>
      <c r="G46" s="20"/>
      <c r="H46" s="20"/>
      <c r="I46" s="20"/>
      <c r="J46" s="20"/>
    </row>
    <row r="47" spans="1:10" x14ac:dyDescent="0.25">
      <c r="A47" s="22"/>
      <c r="B47" s="20"/>
      <c r="C47" s="20"/>
      <c r="D47" s="20"/>
      <c r="E47" s="20"/>
      <c r="F47" s="20"/>
      <c r="G47" s="20"/>
      <c r="H47" s="20"/>
      <c r="I47" s="20"/>
      <c r="J47" s="20"/>
    </row>
  </sheetData>
  <mergeCells count="27">
    <mergeCell ref="B27:J29"/>
    <mergeCell ref="A27:A29"/>
    <mergeCell ref="B44:J47"/>
    <mergeCell ref="A44:A47"/>
    <mergeCell ref="B41:J41"/>
    <mergeCell ref="B42:J43"/>
    <mergeCell ref="A42:A43"/>
    <mergeCell ref="B33:J33"/>
    <mergeCell ref="B34:J36"/>
    <mergeCell ref="A34:A36"/>
    <mergeCell ref="B37:J37"/>
    <mergeCell ref="B38:J39"/>
    <mergeCell ref="A38:A39"/>
    <mergeCell ref="B30:J31"/>
    <mergeCell ref="A30:A31"/>
    <mergeCell ref="B20:J20"/>
    <mergeCell ref="A21:A22"/>
    <mergeCell ref="A23:A26"/>
    <mergeCell ref="B21:J22"/>
    <mergeCell ref="B23:J26"/>
    <mergeCell ref="Q3:R3"/>
    <mergeCell ref="Q12:R12"/>
    <mergeCell ref="B1:J1"/>
    <mergeCell ref="B5:J13"/>
    <mergeCell ref="A5:A13"/>
    <mergeCell ref="B2:J4"/>
    <mergeCell ref="A2:A4"/>
  </mergeCells>
  <hyperlinks>
    <hyperlink ref="R9" r:id="rId1" xr:uid="{F8E3E004-817D-4AA6-83F0-D8BB08D1FEA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_Doc">
                <anchor moveWithCells="1" sizeWithCells="1">
                  <from>
                    <xdr:col>16</xdr:col>
                    <xdr:colOff>847725</xdr:colOff>
                    <xdr:row>21</xdr:row>
                    <xdr:rowOff>104775</xdr:rowOff>
                  </from>
                  <to>
                    <xdr:col>17</xdr:col>
                    <xdr:colOff>1085850</xdr:colOff>
                    <xdr:row>25</xdr:row>
                    <xdr:rowOff>123825</xdr:rowOff>
                  </to>
                </anchor>
              </controlPr>
            </control>
          </mc:Choice>
        </mc:AlternateContent>
        <mc:AlternateContent xmlns:mc="http://schemas.openxmlformats.org/markup-compatibility/2006">
          <mc:Choice Requires="x14">
            <control shapeId="2051" r:id="rId5" name="Button 3">
              <controlPr defaultSize="0" print="0" autoFill="0" autoPict="0" macro="[0]!_xludf.Sort">
                <anchor moveWithCells="1" sizeWithCells="1">
                  <from>
                    <xdr:col>16</xdr:col>
                    <xdr:colOff>866775</xdr:colOff>
                    <xdr:row>17</xdr:row>
                    <xdr:rowOff>38100</xdr:rowOff>
                  </from>
                  <to>
                    <xdr:col>17</xdr:col>
                    <xdr:colOff>1104900</xdr:colOff>
                    <xdr:row>21</xdr:row>
                    <xdr:rowOff>57150</xdr:rowOff>
                  </to>
                </anchor>
              </controlPr>
            </control>
          </mc:Choice>
        </mc:AlternateContent>
        <mc:AlternateContent xmlns:mc="http://schemas.openxmlformats.org/markup-compatibility/2006">
          <mc:Choice Requires="x14">
            <control shapeId="2053" r:id="rId6" name="Button 5">
              <controlPr defaultSize="0" print="0" autoFill="0" autoPict="0" macro="[0]!Generate_Birthday_Doc">
                <anchor moveWithCells="1" sizeWithCells="1">
                  <from>
                    <xdr:col>16</xdr:col>
                    <xdr:colOff>847725</xdr:colOff>
                    <xdr:row>26</xdr:row>
                    <xdr:rowOff>9525</xdr:rowOff>
                  </from>
                  <to>
                    <xdr:col>17</xdr:col>
                    <xdr:colOff>1085850</xdr:colOff>
                    <xdr:row>30</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6D550C5-328C-427C-9596-9B43C587E419}">
          <x14:formula1>
            <xm:f>References!$C$3:$C$53</xm:f>
          </x14:formula1>
          <xm:sqref>R7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9F424-8211-455B-BFE3-4EA59768D6D7}">
  <sheetPr codeName="Sheet3"/>
  <dimension ref="A1:P32"/>
  <sheetViews>
    <sheetView workbookViewId="0">
      <pane ySplit="1" topLeftCell="A2" activePane="bottomLeft" state="frozen"/>
      <selection pane="bottomLeft" activeCell="A2" sqref="A2"/>
    </sheetView>
  </sheetViews>
  <sheetFormatPr defaultRowHeight="15" x14ac:dyDescent="0.25"/>
  <cols>
    <col min="1" max="1" width="19" bestFit="1" customWidth="1"/>
    <col min="2" max="2" width="16.5703125" bestFit="1" customWidth="1"/>
    <col min="3" max="3" width="13" bestFit="1" customWidth="1"/>
    <col min="4" max="4" width="34" bestFit="1" customWidth="1"/>
    <col min="5" max="5" width="22.85546875" bestFit="1" customWidth="1"/>
    <col min="6" max="6" width="23.7109375" bestFit="1" customWidth="1"/>
    <col min="7" max="7" width="15" bestFit="1" customWidth="1"/>
    <col min="8" max="8" width="25.140625" bestFit="1" customWidth="1"/>
    <col min="9" max="9" width="14.42578125" bestFit="1" customWidth="1"/>
    <col min="10" max="10" width="8" bestFit="1" customWidth="1"/>
    <col min="11" max="11" width="6" bestFit="1" customWidth="1"/>
    <col min="12" max="12" width="10.7109375" bestFit="1" customWidth="1"/>
    <col min="13" max="13" width="13.85546875" bestFit="1" customWidth="1"/>
    <col min="14" max="14" width="19.28515625" bestFit="1" customWidth="1"/>
  </cols>
  <sheetData>
    <row r="1" spans="1:16" s="1" customFormat="1" x14ac:dyDescent="0.25">
      <c r="A1" s="1" t="s">
        <v>25</v>
      </c>
      <c r="B1" s="1" t="s">
        <v>26</v>
      </c>
      <c r="C1" s="1" t="s">
        <v>0</v>
      </c>
      <c r="D1" s="1" t="s">
        <v>1</v>
      </c>
      <c r="E1" s="1" t="s">
        <v>2</v>
      </c>
      <c r="F1" s="1" t="s">
        <v>3</v>
      </c>
      <c r="G1" s="1" t="s">
        <v>22</v>
      </c>
      <c r="H1" s="1" t="s">
        <v>4</v>
      </c>
      <c r="I1" s="1" t="s">
        <v>5</v>
      </c>
      <c r="J1" s="1" t="s">
        <v>6</v>
      </c>
      <c r="K1" s="1" t="s">
        <v>7</v>
      </c>
      <c r="L1" s="1" t="s">
        <v>8</v>
      </c>
      <c r="M1" s="1" t="s">
        <v>204</v>
      </c>
      <c r="N1" s="1" t="s">
        <v>9</v>
      </c>
    </row>
    <row r="2" spans="1:16" x14ac:dyDescent="0.25">
      <c r="A2" t="s">
        <v>101</v>
      </c>
      <c r="B2" t="s">
        <v>101</v>
      </c>
      <c r="C2" t="s">
        <v>112</v>
      </c>
      <c r="D2" s="9" t="str">
        <f t="shared" ref="D2:D11" si="0">_xlfn.CONCAT(C2,".",B2,"@gmail.com")</f>
        <v>James.Anderson@gmail.com</v>
      </c>
      <c r="E2" s="3">
        <v>5555550001</v>
      </c>
      <c r="F2" s="3">
        <v>4444440001</v>
      </c>
      <c r="G2">
        <v>1</v>
      </c>
      <c r="H2" t="s">
        <v>115</v>
      </c>
      <c r="I2" t="s">
        <v>23</v>
      </c>
      <c r="J2" t="s">
        <v>24</v>
      </c>
      <c r="K2" s="12">
        <v>66000</v>
      </c>
      <c r="L2" s="11" t="s">
        <v>116</v>
      </c>
      <c r="M2" s="11" t="s">
        <v>117</v>
      </c>
      <c r="N2" t="s">
        <v>15</v>
      </c>
      <c r="P2" s="2"/>
    </row>
    <row r="3" spans="1:16" x14ac:dyDescent="0.25">
      <c r="A3" t="s">
        <v>101</v>
      </c>
      <c r="B3" t="s">
        <v>101</v>
      </c>
      <c r="C3" t="s">
        <v>110</v>
      </c>
      <c r="D3" s="9" t="str">
        <f t="shared" si="0"/>
        <v>Emily.Anderson@gmail.com</v>
      </c>
      <c r="E3" s="3">
        <v>5555550001</v>
      </c>
      <c r="F3" s="3">
        <v>4444440002</v>
      </c>
      <c r="G3">
        <v>0</v>
      </c>
      <c r="H3" t="s">
        <v>115</v>
      </c>
      <c r="I3" t="s">
        <v>23</v>
      </c>
      <c r="J3" t="s">
        <v>24</v>
      </c>
      <c r="K3" s="12">
        <v>66000</v>
      </c>
      <c r="L3" s="11" t="s">
        <v>118</v>
      </c>
      <c r="M3" s="11" t="s">
        <v>117</v>
      </c>
      <c r="N3" t="s">
        <v>14</v>
      </c>
      <c r="P3" s="2"/>
    </row>
    <row r="4" spans="1:16" x14ac:dyDescent="0.25">
      <c r="A4" t="s">
        <v>101</v>
      </c>
      <c r="B4" t="s">
        <v>101</v>
      </c>
      <c r="C4" t="s">
        <v>113</v>
      </c>
      <c r="D4" s="9" t="str">
        <f t="shared" si="0"/>
        <v>Sam.Anderson@gmail.com</v>
      </c>
      <c r="E4" s="3">
        <v>5555550001</v>
      </c>
      <c r="F4" s="3">
        <v>4444440003</v>
      </c>
      <c r="G4">
        <v>0</v>
      </c>
      <c r="H4" t="s">
        <v>115</v>
      </c>
      <c r="I4" t="s">
        <v>23</v>
      </c>
      <c r="J4" t="s">
        <v>24</v>
      </c>
      <c r="K4" s="12">
        <v>66000</v>
      </c>
      <c r="L4" s="11" t="s">
        <v>119</v>
      </c>
      <c r="M4" s="11"/>
      <c r="N4" t="s">
        <v>19</v>
      </c>
    </row>
    <row r="5" spans="1:16" x14ac:dyDescent="0.25">
      <c r="A5" t="s">
        <v>101</v>
      </c>
      <c r="B5" t="s">
        <v>101</v>
      </c>
      <c r="C5" t="s">
        <v>114</v>
      </c>
      <c r="D5" s="9" t="str">
        <f t="shared" si="0"/>
        <v>William.Anderson@gmail.com</v>
      </c>
      <c r="E5" s="3">
        <v>5555550001</v>
      </c>
      <c r="F5" s="3">
        <v>4444440004</v>
      </c>
      <c r="G5">
        <v>0</v>
      </c>
      <c r="H5" t="s">
        <v>115</v>
      </c>
      <c r="I5" t="s">
        <v>23</v>
      </c>
      <c r="J5" t="s">
        <v>24</v>
      </c>
      <c r="K5" s="12">
        <v>66000</v>
      </c>
      <c r="L5" s="11" t="s">
        <v>120</v>
      </c>
      <c r="M5" s="11"/>
      <c r="N5" t="s">
        <v>21</v>
      </c>
    </row>
    <row r="6" spans="1:16" x14ac:dyDescent="0.25">
      <c r="A6" t="s">
        <v>101</v>
      </c>
      <c r="B6" t="s">
        <v>101</v>
      </c>
      <c r="C6" t="s">
        <v>104</v>
      </c>
      <c r="D6" s="9" t="str">
        <f t="shared" si="0"/>
        <v>Andrew.Anderson@gmail.com</v>
      </c>
      <c r="E6" s="3">
        <v>5555550001</v>
      </c>
      <c r="F6" s="3">
        <v>4444440005</v>
      </c>
      <c r="G6">
        <v>0</v>
      </c>
      <c r="H6" t="s">
        <v>115</v>
      </c>
      <c r="I6" t="s">
        <v>23</v>
      </c>
      <c r="J6" t="s">
        <v>24</v>
      </c>
      <c r="K6" s="12">
        <v>66000</v>
      </c>
      <c r="L6" s="11" t="s">
        <v>121</v>
      </c>
      <c r="M6" s="11"/>
    </row>
    <row r="7" spans="1:16" x14ac:dyDescent="0.25">
      <c r="A7" t="s">
        <v>109</v>
      </c>
      <c r="B7" t="s">
        <v>109</v>
      </c>
      <c r="C7" t="s">
        <v>122</v>
      </c>
      <c r="D7" s="9" t="str">
        <f t="shared" si="0"/>
        <v>Bill.Baker@gmail.com</v>
      </c>
      <c r="E7" s="3">
        <v>5555550002</v>
      </c>
      <c r="F7" s="3">
        <v>4444440006</v>
      </c>
      <c r="G7">
        <v>1</v>
      </c>
      <c r="H7" t="s">
        <v>123</v>
      </c>
      <c r="I7" t="s">
        <v>106</v>
      </c>
      <c r="J7" t="s">
        <v>24</v>
      </c>
      <c r="K7" s="12">
        <v>66001</v>
      </c>
      <c r="L7" s="11" t="s">
        <v>124</v>
      </c>
      <c r="M7" s="11"/>
    </row>
    <row r="8" spans="1:16" x14ac:dyDescent="0.25">
      <c r="A8" t="s">
        <v>171</v>
      </c>
      <c r="B8" t="s">
        <v>171</v>
      </c>
      <c r="C8" t="s">
        <v>103</v>
      </c>
      <c r="D8" s="9" t="str">
        <f t="shared" si="0"/>
        <v>John.Bauer@gmail.com</v>
      </c>
      <c r="E8" s="3"/>
      <c r="F8" s="3">
        <v>4444440021</v>
      </c>
      <c r="G8">
        <v>1</v>
      </c>
      <c r="H8" t="s">
        <v>173</v>
      </c>
      <c r="I8" t="s">
        <v>102</v>
      </c>
      <c r="J8" t="s">
        <v>24</v>
      </c>
      <c r="K8" s="12" t="s">
        <v>174</v>
      </c>
      <c r="L8" s="11" t="s">
        <v>175</v>
      </c>
      <c r="M8" s="11" t="s">
        <v>177</v>
      </c>
      <c r="N8" t="s">
        <v>11</v>
      </c>
    </row>
    <row r="9" spans="1:16" x14ac:dyDescent="0.25">
      <c r="A9" t="s">
        <v>171</v>
      </c>
      <c r="B9" t="s">
        <v>171</v>
      </c>
      <c r="C9" t="s">
        <v>172</v>
      </c>
      <c r="D9" s="9" t="str">
        <f t="shared" si="0"/>
        <v>Kara.Bauer@gmail.com</v>
      </c>
      <c r="E9" s="3"/>
      <c r="F9" s="3">
        <v>4444440022</v>
      </c>
      <c r="G9">
        <v>0</v>
      </c>
      <c r="H9" t="s">
        <v>173</v>
      </c>
      <c r="I9" t="s">
        <v>102</v>
      </c>
      <c r="J9" t="s">
        <v>24</v>
      </c>
      <c r="K9" s="12" t="s">
        <v>174</v>
      </c>
      <c r="L9" s="11" t="s">
        <v>176</v>
      </c>
      <c r="M9" s="11" t="s">
        <v>177</v>
      </c>
      <c r="N9" t="s">
        <v>16</v>
      </c>
    </row>
    <row r="10" spans="1:16" x14ac:dyDescent="0.25">
      <c r="A10" t="s">
        <v>125</v>
      </c>
      <c r="B10" t="s">
        <v>125</v>
      </c>
      <c r="C10" t="s">
        <v>126</v>
      </c>
      <c r="D10" s="9" t="str">
        <f t="shared" si="0"/>
        <v>Chris.Burton@gmail.com</v>
      </c>
      <c r="E10" s="3">
        <v>5555550003</v>
      </c>
      <c r="F10" s="3">
        <v>4444440007</v>
      </c>
      <c r="G10">
        <v>1</v>
      </c>
      <c r="H10" t="s">
        <v>130</v>
      </c>
      <c r="I10" t="s">
        <v>102</v>
      </c>
      <c r="J10" t="s">
        <v>24</v>
      </c>
      <c r="K10" s="12">
        <v>66002</v>
      </c>
      <c r="L10" s="11" t="s">
        <v>131</v>
      </c>
      <c r="M10" s="11" t="s">
        <v>133</v>
      </c>
      <c r="N10" t="s">
        <v>19</v>
      </c>
    </row>
    <row r="11" spans="1:16" x14ac:dyDescent="0.25">
      <c r="A11" t="s">
        <v>125</v>
      </c>
      <c r="B11" t="s">
        <v>125</v>
      </c>
      <c r="C11" t="s">
        <v>127</v>
      </c>
      <c r="D11" s="9" t="str">
        <f t="shared" si="0"/>
        <v>Melanie.Burton@gmail.com</v>
      </c>
      <c r="E11" s="3">
        <v>5555550003</v>
      </c>
      <c r="F11" s="3">
        <v>4444440008</v>
      </c>
      <c r="G11">
        <v>0</v>
      </c>
      <c r="H11" t="s">
        <v>130</v>
      </c>
      <c r="I11" t="s">
        <v>102</v>
      </c>
      <c r="J11" t="s">
        <v>24</v>
      </c>
      <c r="K11" s="12">
        <v>66002</v>
      </c>
      <c r="L11" s="11" t="s">
        <v>132</v>
      </c>
      <c r="M11" s="11" t="s">
        <v>133</v>
      </c>
      <c r="N11" t="s">
        <v>18</v>
      </c>
    </row>
    <row r="12" spans="1:16" x14ac:dyDescent="0.25">
      <c r="A12" t="s">
        <v>125</v>
      </c>
      <c r="B12" t="s">
        <v>125</v>
      </c>
      <c r="C12" t="s">
        <v>128</v>
      </c>
      <c r="E12" s="3">
        <v>5555550003</v>
      </c>
      <c r="F12" s="3"/>
      <c r="G12">
        <v>0</v>
      </c>
      <c r="H12" t="s">
        <v>130</v>
      </c>
      <c r="I12" t="s">
        <v>102</v>
      </c>
      <c r="J12" t="s">
        <v>24</v>
      </c>
      <c r="K12" s="12">
        <v>66002</v>
      </c>
      <c r="L12" s="11" t="s">
        <v>134</v>
      </c>
      <c r="M12" s="11"/>
    </row>
    <row r="13" spans="1:16" x14ac:dyDescent="0.25">
      <c r="A13" t="s">
        <v>125</v>
      </c>
      <c r="B13" t="s">
        <v>125</v>
      </c>
      <c r="C13" t="s">
        <v>129</v>
      </c>
      <c r="E13" s="3">
        <v>5555550003</v>
      </c>
      <c r="F13" s="3"/>
      <c r="G13">
        <v>0</v>
      </c>
      <c r="H13" t="s">
        <v>130</v>
      </c>
      <c r="I13" t="s">
        <v>102</v>
      </c>
      <c r="J13" t="s">
        <v>24</v>
      </c>
      <c r="K13" s="12">
        <v>66002</v>
      </c>
      <c r="L13" s="11" t="s">
        <v>135</v>
      </c>
      <c r="M13" s="11"/>
    </row>
    <row r="14" spans="1:16" x14ac:dyDescent="0.25">
      <c r="A14" t="s">
        <v>148</v>
      </c>
      <c r="B14" t="s">
        <v>148</v>
      </c>
      <c r="C14" t="s">
        <v>155</v>
      </c>
      <c r="D14" s="9" t="str">
        <f t="shared" ref="D14:D32" si="1">_xlfn.CONCAT(C14,".",B14,"@gmail.com")</f>
        <v>Sean.Carlson@gmail.com</v>
      </c>
      <c r="E14" s="3">
        <v>5555550005</v>
      </c>
      <c r="F14" s="3">
        <v>4444440016</v>
      </c>
      <c r="G14">
        <v>1</v>
      </c>
      <c r="H14" t="s">
        <v>158</v>
      </c>
      <c r="I14" t="s">
        <v>23</v>
      </c>
      <c r="J14" t="s">
        <v>24</v>
      </c>
      <c r="K14" s="12">
        <v>66000</v>
      </c>
      <c r="L14" s="11" t="s">
        <v>159</v>
      </c>
      <c r="M14" s="11" t="s">
        <v>160</v>
      </c>
      <c r="N14" t="s">
        <v>15</v>
      </c>
    </row>
    <row r="15" spans="1:16" x14ac:dyDescent="0.25">
      <c r="A15" t="s">
        <v>148</v>
      </c>
      <c r="B15" t="s">
        <v>157</v>
      </c>
      <c r="C15" t="s">
        <v>156</v>
      </c>
      <c r="D15" s="9" t="str">
        <f t="shared" si="1"/>
        <v>Jessica.Warner-Carlson@gmail.com</v>
      </c>
      <c r="E15" s="3">
        <v>5555550005</v>
      </c>
      <c r="F15" s="3">
        <v>4444440017</v>
      </c>
      <c r="G15">
        <v>0</v>
      </c>
      <c r="H15" t="s">
        <v>158</v>
      </c>
      <c r="I15" t="s">
        <v>23</v>
      </c>
      <c r="J15" t="s">
        <v>24</v>
      </c>
      <c r="K15" s="12">
        <v>66000</v>
      </c>
      <c r="L15" s="11" t="s">
        <v>161</v>
      </c>
      <c r="M15" s="11" t="s">
        <v>160</v>
      </c>
      <c r="N15" t="s">
        <v>16</v>
      </c>
    </row>
    <row r="16" spans="1:16" x14ac:dyDescent="0.25">
      <c r="A16" t="s">
        <v>148</v>
      </c>
      <c r="B16" t="s">
        <v>148</v>
      </c>
      <c r="C16" t="s">
        <v>162</v>
      </c>
      <c r="D16" s="9" t="str">
        <f t="shared" si="1"/>
        <v>Grace.Carlson@gmail.com</v>
      </c>
      <c r="E16" s="3">
        <v>5555550005</v>
      </c>
      <c r="F16" s="3">
        <v>4444440018</v>
      </c>
      <c r="G16">
        <v>0</v>
      </c>
      <c r="H16" t="s">
        <v>158</v>
      </c>
      <c r="I16" t="s">
        <v>23</v>
      </c>
      <c r="J16" t="s">
        <v>24</v>
      </c>
      <c r="K16" s="12">
        <v>66000</v>
      </c>
      <c r="L16" s="11" t="s">
        <v>163</v>
      </c>
      <c r="M16" s="11"/>
      <c r="N16" t="s">
        <v>20</v>
      </c>
    </row>
    <row r="17" spans="1:14" x14ac:dyDescent="0.25">
      <c r="A17" t="s">
        <v>148</v>
      </c>
      <c r="B17" t="s">
        <v>148</v>
      </c>
      <c r="C17" t="s">
        <v>149</v>
      </c>
      <c r="D17" s="9" t="str">
        <f t="shared" si="1"/>
        <v>George.Carlson@gmail.com</v>
      </c>
      <c r="E17" s="3">
        <v>5555550004</v>
      </c>
      <c r="F17" s="3">
        <v>4444440014</v>
      </c>
      <c r="G17">
        <v>1</v>
      </c>
      <c r="H17" t="s">
        <v>151</v>
      </c>
      <c r="I17" t="s">
        <v>23</v>
      </c>
      <c r="J17" t="s">
        <v>24</v>
      </c>
      <c r="K17" s="12">
        <v>66000</v>
      </c>
      <c r="L17" s="11" t="s">
        <v>152</v>
      </c>
      <c r="M17" s="11" t="s">
        <v>154</v>
      </c>
      <c r="N17" t="s">
        <v>16</v>
      </c>
    </row>
    <row r="18" spans="1:14" x14ac:dyDescent="0.25">
      <c r="A18" t="s">
        <v>148</v>
      </c>
      <c r="B18" t="s">
        <v>148</v>
      </c>
      <c r="C18" t="s">
        <v>150</v>
      </c>
      <c r="D18" s="9" t="str">
        <f t="shared" si="1"/>
        <v>Janet.Carlson@gmail.com</v>
      </c>
      <c r="E18" s="3">
        <v>5555550004</v>
      </c>
      <c r="F18" s="3">
        <v>4444440015</v>
      </c>
      <c r="G18">
        <v>0</v>
      </c>
      <c r="H18" t="s">
        <v>151</v>
      </c>
      <c r="I18" t="s">
        <v>23</v>
      </c>
      <c r="J18" t="s">
        <v>24</v>
      </c>
      <c r="K18" s="12">
        <v>66000</v>
      </c>
      <c r="L18" s="11" t="s">
        <v>153</v>
      </c>
      <c r="M18" s="11" t="s">
        <v>154</v>
      </c>
      <c r="N18" t="s">
        <v>14</v>
      </c>
    </row>
    <row r="19" spans="1:14" x14ac:dyDescent="0.25">
      <c r="A19" t="s">
        <v>136</v>
      </c>
      <c r="B19" t="s">
        <v>136</v>
      </c>
      <c r="C19" t="s">
        <v>137</v>
      </c>
      <c r="D19" s="9" t="str">
        <f t="shared" si="1"/>
        <v>Stephan.Chase@gmail.com</v>
      </c>
      <c r="E19" s="3"/>
      <c r="F19" s="3">
        <v>4444440009</v>
      </c>
      <c r="G19">
        <v>1</v>
      </c>
      <c r="H19" t="s">
        <v>141</v>
      </c>
      <c r="I19" t="s">
        <v>106</v>
      </c>
      <c r="J19" t="s">
        <v>24</v>
      </c>
      <c r="K19" s="12">
        <v>66001</v>
      </c>
      <c r="L19" s="11" t="s">
        <v>142</v>
      </c>
      <c r="M19" s="11" t="s">
        <v>143</v>
      </c>
      <c r="N19" t="s">
        <v>15</v>
      </c>
    </row>
    <row r="20" spans="1:14" x14ac:dyDescent="0.25">
      <c r="A20" t="s">
        <v>136</v>
      </c>
      <c r="B20" t="s">
        <v>136</v>
      </c>
      <c r="C20" t="s">
        <v>138</v>
      </c>
      <c r="D20" s="9" t="str">
        <f t="shared" si="1"/>
        <v>Scarlett.Chase@gmail.com</v>
      </c>
      <c r="E20" s="3"/>
      <c r="F20" s="3">
        <v>4444440010</v>
      </c>
      <c r="G20">
        <v>0</v>
      </c>
      <c r="H20" t="s">
        <v>141</v>
      </c>
      <c r="I20" t="s">
        <v>106</v>
      </c>
      <c r="J20" t="s">
        <v>24</v>
      </c>
      <c r="K20" s="12">
        <v>66001</v>
      </c>
      <c r="L20" s="11" t="s">
        <v>144</v>
      </c>
      <c r="M20" s="11" t="s">
        <v>143</v>
      </c>
      <c r="N20" t="s">
        <v>19</v>
      </c>
    </row>
    <row r="21" spans="1:14" x14ac:dyDescent="0.25">
      <c r="A21" t="s">
        <v>136</v>
      </c>
      <c r="B21" t="s">
        <v>136</v>
      </c>
      <c r="C21" t="s">
        <v>139</v>
      </c>
      <c r="D21" s="9" t="str">
        <f t="shared" si="1"/>
        <v>Eric.Chase@gmail.com</v>
      </c>
      <c r="E21" s="3"/>
      <c r="F21" s="3">
        <v>4444440011</v>
      </c>
      <c r="G21">
        <v>0</v>
      </c>
      <c r="H21" t="s">
        <v>141</v>
      </c>
      <c r="I21" t="s">
        <v>106</v>
      </c>
      <c r="J21" t="s">
        <v>24</v>
      </c>
      <c r="K21" s="12">
        <v>66001</v>
      </c>
      <c r="L21" s="11" t="s">
        <v>145</v>
      </c>
      <c r="M21" s="11"/>
      <c r="N21" t="s">
        <v>21</v>
      </c>
    </row>
    <row r="22" spans="1:14" x14ac:dyDescent="0.25">
      <c r="A22" t="s">
        <v>136</v>
      </c>
      <c r="B22" t="s">
        <v>136</v>
      </c>
      <c r="C22" t="s">
        <v>107</v>
      </c>
      <c r="D22" s="9" t="str">
        <f t="shared" si="1"/>
        <v>Anna.Chase@gmail.com</v>
      </c>
      <c r="E22" s="3"/>
      <c r="F22" s="3">
        <v>4444440012</v>
      </c>
      <c r="G22">
        <v>0</v>
      </c>
      <c r="H22" t="s">
        <v>141</v>
      </c>
      <c r="I22" t="s">
        <v>106</v>
      </c>
      <c r="J22" t="s">
        <v>24</v>
      </c>
      <c r="K22" s="12">
        <v>66001</v>
      </c>
      <c r="L22" s="11" t="s">
        <v>146</v>
      </c>
      <c r="M22" s="11"/>
      <c r="N22" t="s">
        <v>20</v>
      </c>
    </row>
    <row r="23" spans="1:14" x14ac:dyDescent="0.25">
      <c r="A23" t="s">
        <v>136</v>
      </c>
      <c r="B23" t="s">
        <v>136</v>
      </c>
      <c r="C23" t="s">
        <v>140</v>
      </c>
      <c r="D23" s="9" t="str">
        <f t="shared" si="1"/>
        <v>Bryn.Chase@gmail.com</v>
      </c>
      <c r="E23" s="3"/>
      <c r="F23" s="3">
        <v>4444440013</v>
      </c>
      <c r="G23">
        <v>0</v>
      </c>
      <c r="H23" t="s">
        <v>141</v>
      </c>
      <c r="I23" t="s">
        <v>106</v>
      </c>
      <c r="J23" t="s">
        <v>24</v>
      </c>
      <c r="K23" s="12">
        <v>66001</v>
      </c>
      <c r="L23" s="11" t="s">
        <v>147</v>
      </c>
      <c r="M23" s="11"/>
    </row>
    <row r="24" spans="1:14" x14ac:dyDescent="0.25">
      <c r="A24" t="s">
        <v>105</v>
      </c>
      <c r="B24" t="s">
        <v>105</v>
      </c>
      <c r="C24" t="s">
        <v>164</v>
      </c>
      <c r="D24" s="9" t="str">
        <f t="shared" si="1"/>
        <v>Daniel.Davis@gmail.com</v>
      </c>
      <c r="E24" s="3">
        <v>5555550006</v>
      </c>
      <c r="F24" s="3">
        <v>4444440019</v>
      </c>
      <c r="G24">
        <v>1</v>
      </c>
      <c r="H24" t="s">
        <v>166</v>
      </c>
      <c r="I24" t="s">
        <v>106</v>
      </c>
      <c r="J24" t="s">
        <v>24</v>
      </c>
      <c r="K24" s="12" t="s">
        <v>167</v>
      </c>
      <c r="L24" s="11" t="s">
        <v>168</v>
      </c>
      <c r="M24" s="11" t="s">
        <v>170</v>
      </c>
      <c r="N24" t="s">
        <v>16</v>
      </c>
    </row>
    <row r="25" spans="1:14" ht="15" customHeight="1" x14ac:dyDescent="0.25">
      <c r="A25" t="s">
        <v>105</v>
      </c>
      <c r="B25" t="s">
        <v>105</v>
      </c>
      <c r="C25" t="s">
        <v>165</v>
      </c>
      <c r="D25" s="9" t="str">
        <f t="shared" si="1"/>
        <v>Margaret.Davis@gmail.com</v>
      </c>
      <c r="E25" s="3">
        <v>5555550006</v>
      </c>
      <c r="F25" s="3">
        <v>4444440020</v>
      </c>
      <c r="G25">
        <v>0</v>
      </c>
      <c r="H25" t="s">
        <v>166</v>
      </c>
      <c r="I25" t="s">
        <v>106</v>
      </c>
      <c r="J25" t="s">
        <v>24</v>
      </c>
      <c r="K25" s="12" t="s">
        <v>167</v>
      </c>
      <c r="L25" s="11" t="s">
        <v>169</v>
      </c>
      <c r="M25" s="11" t="s">
        <v>170</v>
      </c>
      <c r="N25" t="s">
        <v>18</v>
      </c>
    </row>
    <row r="26" spans="1:14" x14ac:dyDescent="0.25">
      <c r="A26" t="s">
        <v>196</v>
      </c>
      <c r="B26" t="s">
        <v>196</v>
      </c>
      <c r="C26" t="s">
        <v>197</v>
      </c>
      <c r="D26" s="9" t="str">
        <f t="shared" si="1"/>
        <v>Jay.Frazier@gmail.com</v>
      </c>
      <c r="E26" s="3">
        <v>5555550008</v>
      </c>
      <c r="F26" s="3">
        <v>4444440028</v>
      </c>
      <c r="G26">
        <v>1</v>
      </c>
      <c r="H26" t="s">
        <v>199</v>
      </c>
      <c r="I26" t="s">
        <v>23</v>
      </c>
      <c r="J26" t="s">
        <v>24</v>
      </c>
      <c r="K26" s="12" t="s">
        <v>200</v>
      </c>
      <c r="L26" s="11" t="s">
        <v>201</v>
      </c>
      <c r="M26" s="11" t="s">
        <v>202</v>
      </c>
      <c r="N26" t="s">
        <v>19</v>
      </c>
    </row>
    <row r="27" spans="1:14" x14ac:dyDescent="0.25">
      <c r="A27" t="s">
        <v>196</v>
      </c>
      <c r="B27" t="s">
        <v>196</v>
      </c>
      <c r="C27" t="s">
        <v>198</v>
      </c>
      <c r="D27" s="9" t="str">
        <f t="shared" si="1"/>
        <v>Lilly.Frazier@gmail.com</v>
      </c>
      <c r="E27" s="3">
        <v>5555550008</v>
      </c>
      <c r="F27" s="3">
        <v>4444440029</v>
      </c>
      <c r="G27">
        <v>0</v>
      </c>
      <c r="H27" t="s">
        <v>199</v>
      </c>
      <c r="I27" t="s">
        <v>23</v>
      </c>
      <c r="J27" t="s">
        <v>24</v>
      </c>
      <c r="K27" s="12" t="s">
        <v>200</v>
      </c>
      <c r="L27" s="11" t="s">
        <v>203</v>
      </c>
      <c r="M27" s="11" t="s">
        <v>202</v>
      </c>
      <c r="N27" t="s">
        <v>21</v>
      </c>
    </row>
    <row r="28" spans="1:14" x14ac:dyDescent="0.25">
      <c r="A28" t="s">
        <v>189</v>
      </c>
      <c r="B28" t="s">
        <v>189</v>
      </c>
      <c r="C28" t="s">
        <v>190</v>
      </c>
      <c r="D28" s="9" t="str">
        <f t="shared" si="1"/>
        <v>Ethan.Gordon@gmail.com</v>
      </c>
      <c r="E28" s="3"/>
      <c r="F28" s="3">
        <v>4444440026</v>
      </c>
      <c r="G28">
        <v>1</v>
      </c>
      <c r="H28" t="s">
        <v>192</v>
      </c>
      <c r="I28" t="s">
        <v>106</v>
      </c>
      <c r="J28" t="s">
        <v>24</v>
      </c>
      <c r="K28" s="12" t="s">
        <v>167</v>
      </c>
      <c r="L28" s="11" t="s">
        <v>193</v>
      </c>
      <c r="M28" s="11" t="s">
        <v>194</v>
      </c>
    </row>
    <row r="29" spans="1:14" x14ac:dyDescent="0.25">
      <c r="A29" t="s">
        <v>189</v>
      </c>
      <c r="B29" t="s">
        <v>189</v>
      </c>
      <c r="C29" t="s">
        <v>191</v>
      </c>
      <c r="D29" s="9" t="str">
        <f t="shared" si="1"/>
        <v>Arianna.Gordon@gmail.com</v>
      </c>
      <c r="E29" s="3"/>
      <c r="F29" s="3">
        <v>4444440027</v>
      </c>
      <c r="G29">
        <v>0</v>
      </c>
      <c r="H29" t="s">
        <v>192</v>
      </c>
      <c r="I29" t="s">
        <v>106</v>
      </c>
      <c r="J29" t="s">
        <v>24</v>
      </c>
      <c r="K29" s="12" t="s">
        <v>167</v>
      </c>
      <c r="L29" s="11" t="s">
        <v>195</v>
      </c>
      <c r="M29" s="11" t="s">
        <v>194</v>
      </c>
    </row>
    <row r="30" spans="1:14" x14ac:dyDescent="0.25">
      <c r="A30" t="s">
        <v>181</v>
      </c>
      <c r="B30" t="s">
        <v>181</v>
      </c>
      <c r="C30" t="s">
        <v>108</v>
      </c>
      <c r="D30" s="9" t="str">
        <f t="shared" si="1"/>
        <v>Zach.Kemp@gmail.com</v>
      </c>
      <c r="E30" s="3">
        <v>5555550007</v>
      </c>
      <c r="F30" s="3">
        <v>4444440023</v>
      </c>
      <c r="G30">
        <v>1</v>
      </c>
      <c r="H30" t="s">
        <v>184</v>
      </c>
      <c r="I30" t="s">
        <v>102</v>
      </c>
      <c r="J30" t="s">
        <v>24</v>
      </c>
      <c r="K30" s="12" t="s">
        <v>174</v>
      </c>
      <c r="L30" s="11" t="s">
        <v>185</v>
      </c>
      <c r="M30" s="11" t="s">
        <v>186</v>
      </c>
      <c r="N30" t="s">
        <v>14</v>
      </c>
    </row>
    <row r="31" spans="1:14" x14ac:dyDescent="0.25">
      <c r="A31" t="s">
        <v>181</v>
      </c>
      <c r="B31" t="s">
        <v>181</v>
      </c>
      <c r="C31" t="s">
        <v>182</v>
      </c>
      <c r="D31" s="9" t="str">
        <f t="shared" si="1"/>
        <v>Esther.Kemp@gmail.com</v>
      </c>
      <c r="E31" s="3">
        <v>5555550007</v>
      </c>
      <c r="F31" s="3">
        <v>4444440024</v>
      </c>
      <c r="G31">
        <v>0</v>
      </c>
      <c r="H31" t="s">
        <v>184</v>
      </c>
      <c r="I31" t="s">
        <v>102</v>
      </c>
      <c r="J31" t="s">
        <v>24</v>
      </c>
      <c r="K31" s="12" t="s">
        <v>174</v>
      </c>
      <c r="L31" s="11" t="s">
        <v>187</v>
      </c>
      <c r="M31" s="11" t="s">
        <v>186</v>
      </c>
      <c r="N31" t="s">
        <v>15</v>
      </c>
    </row>
    <row r="32" spans="1:14" x14ac:dyDescent="0.25">
      <c r="A32" t="s">
        <v>181</v>
      </c>
      <c r="B32" t="s">
        <v>181</v>
      </c>
      <c r="C32" t="s">
        <v>183</v>
      </c>
      <c r="D32" s="9" t="str">
        <f t="shared" si="1"/>
        <v>Helena.Kemp@gmail.com</v>
      </c>
      <c r="E32" s="3">
        <v>5555550007</v>
      </c>
      <c r="F32" s="3">
        <v>4444440025</v>
      </c>
      <c r="G32">
        <v>0</v>
      </c>
      <c r="H32" t="s">
        <v>184</v>
      </c>
      <c r="I32" t="s">
        <v>102</v>
      </c>
      <c r="J32" t="s">
        <v>24</v>
      </c>
      <c r="K32" s="12" t="s">
        <v>174</v>
      </c>
      <c r="L32" s="11" t="s">
        <v>188</v>
      </c>
      <c r="M32" s="11"/>
    </row>
  </sheetData>
  <autoFilter ref="A1:N1" xr:uid="{5609F424-8211-455B-BFE3-4EA59768D6D7}"/>
  <sortState xmlns:xlrd2="http://schemas.microsoft.com/office/spreadsheetml/2017/richdata2" ref="A2:N280">
    <sortCondition ref="A1"/>
    <sortCondition descending="1" ref="H1"/>
    <sortCondition descending="1" ref="G1"/>
  </sortState>
  <phoneticPr fontId="2" type="noConversion"/>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57E681A-905A-49AC-8D79-3ACC79A60E28}">
          <x14:formula1>
            <xm:f>References!$B$3:$B$13</xm:f>
          </x14:formula1>
          <xm:sqref>N2:N32</xm:sqref>
        </x14:dataValidation>
        <x14:dataValidation type="list" allowBlank="1" showInputMessage="1" showErrorMessage="1" xr:uid="{3A8D1435-A5ED-429F-B1A5-572E8A789BCB}">
          <x14:formula1>
            <xm:f>References!$C$3:$C$53</xm:f>
          </x14:formula1>
          <xm:sqref>J2:J32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9166D-5228-4524-9091-A4FC5C68560C}">
  <sheetPr codeName="Sheet2"/>
  <dimension ref="B2:C53"/>
  <sheetViews>
    <sheetView workbookViewId="0">
      <selection activeCell="F21" sqref="F21"/>
    </sheetView>
  </sheetViews>
  <sheetFormatPr defaultRowHeight="15" x14ac:dyDescent="0.25"/>
  <cols>
    <col min="2" max="2" width="18.140625" bestFit="1" customWidth="1"/>
  </cols>
  <sheetData>
    <row r="2" spans="2:3" x14ac:dyDescent="0.25">
      <c r="B2" s="1" t="s">
        <v>10</v>
      </c>
      <c r="C2" s="1" t="s">
        <v>29</v>
      </c>
    </row>
    <row r="3" spans="2:3" x14ac:dyDescent="0.25">
      <c r="B3" t="s">
        <v>12</v>
      </c>
      <c r="C3" t="s">
        <v>31</v>
      </c>
    </row>
    <row r="4" spans="2:3" x14ac:dyDescent="0.25">
      <c r="B4" t="s">
        <v>13</v>
      </c>
      <c r="C4" t="s">
        <v>30</v>
      </c>
    </row>
    <row r="5" spans="2:3" x14ac:dyDescent="0.25">
      <c r="B5" t="s">
        <v>11</v>
      </c>
      <c r="C5" t="s">
        <v>33</v>
      </c>
    </row>
    <row r="6" spans="2:3" x14ac:dyDescent="0.25">
      <c r="B6" t="s">
        <v>14</v>
      </c>
      <c r="C6" t="s">
        <v>32</v>
      </c>
    </row>
    <row r="7" spans="2:3" x14ac:dyDescent="0.25">
      <c r="B7" t="s">
        <v>15</v>
      </c>
      <c r="C7" t="s">
        <v>34</v>
      </c>
    </row>
    <row r="8" spans="2:3" x14ac:dyDescent="0.25">
      <c r="B8" t="s">
        <v>16</v>
      </c>
      <c r="C8" t="s">
        <v>35</v>
      </c>
    </row>
    <row r="9" spans="2:3" x14ac:dyDescent="0.25">
      <c r="B9" t="s">
        <v>17</v>
      </c>
      <c r="C9" t="s">
        <v>36</v>
      </c>
    </row>
    <row r="10" spans="2:3" x14ac:dyDescent="0.25">
      <c r="B10" t="s">
        <v>18</v>
      </c>
      <c r="C10" t="s">
        <v>37</v>
      </c>
    </row>
    <row r="11" spans="2:3" x14ac:dyDescent="0.25">
      <c r="B11" t="s">
        <v>19</v>
      </c>
      <c r="C11" t="s">
        <v>38</v>
      </c>
    </row>
    <row r="12" spans="2:3" x14ac:dyDescent="0.25">
      <c r="B12" t="s">
        <v>20</v>
      </c>
      <c r="C12" t="s">
        <v>39</v>
      </c>
    </row>
    <row r="13" spans="2:3" x14ac:dyDescent="0.25">
      <c r="B13" t="s">
        <v>21</v>
      </c>
      <c r="C13" t="s">
        <v>40</v>
      </c>
    </row>
    <row r="14" spans="2:3" x14ac:dyDescent="0.25">
      <c r="C14" t="s">
        <v>41</v>
      </c>
    </row>
    <row r="15" spans="2:3" x14ac:dyDescent="0.25">
      <c r="C15" t="s">
        <v>42</v>
      </c>
    </row>
    <row r="16" spans="2:3" x14ac:dyDescent="0.25">
      <c r="C16" t="s">
        <v>43</v>
      </c>
    </row>
    <row r="17" spans="3:3" x14ac:dyDescent="0.25">
      <c r="C17" t="s">
        <v>44</v>
      </c>
    </row>
    <row r="18" spans="3:3" x14ac:dyDescent="0.25">
      <c r="C18" t="s">
        <v>45</v>
      </c>
    </row>
    <row r="19" spans="3:3" x14ac:dyDescent="0.25">
      <c r="C19" t="s">
        <v>24</v>
      </c>
    </row>
    <row r="20" spans="3:3" x14ac:dyDescent="0.25">
      <c r="C20" t="s">
        <v>46</v>
      </c>
    </row>
    <row r="21" spans="3:3" x14ac:dyDescent="0.25">
      <c r="C21" t="s">
        <v>47</v>
      </c>
    </row>
    <row r="22" spans="3:3" x14ac:dyDescent="0.25">
      <c r="C22" t="s">
        <v>48</v>
      </c>
    </row>
    <row r="23" spans="3:3" x14ac:dyDescent="0.25">
      <c r="C23" t="s">
        <v>49</v>
      </c>
    </row>
    <row r="24" spans="3:3" x14ac:dyDescent="0.25">
      <c r="C24" t="s">
        <v>50</v>
      </c>
    </row>
    <row r="25" spans="3:3" x14ac:dyDescent="0.25">
      <c r="C25" t="s">
        <v>51</v>
      </c>
    </row>
    <row r="26" spans="3:3" x14ac:dyDescent="0.25">
      <c r="C26" t="s">
        <v>52</v>
      </c>
    </row>
    <row r="27" spans="3:3" x14ac:dyDescent="0.25">
      <c r="C27" t="s">
        <v>53</v>
      </c>
    </row>
    <row r="28" spans="3:3" x14ac:dyDescent="0.25">
      <c r="C28" t="s">
        <v>54</v>
      </c>
    </row>
    <row r="29" spans="3:3" x14ac:dyDescent="0.25">
      <c r="C29" t="s">
        <v>55</v>
      </c>
    </row>
    <row r="30" spans="3:3" x14ac:dyDescent="0.25">
      <c r="C30" t="s">
        <v>56</v>
      </c>
    </row>
    <row r="31" spans="3:3" x14ac:dyDescent="0.25">
      <c r="C31" t="s">
        <v>57</v>
      </c>
    </row>
    <row r="32" spans="3:3" x14ac:dyDescent="0.25">
      <c r="C32" t="s">
        <v>58</v>
      </c>
    </row>
    <row r="33" spans="3:3" x14ac:dyDescent="0.25">
      <c r="C33" t="s">
        <v>59</v>
      </c>
    </row>
    <row r="34" spans="3:3" x14ac:dyDescent="0.25">
      <c r="C34" t="s">
        <v>60</v>
      </c>
    </row>
    <row r="35" spans="3:3" x14ac:dyDescent="0.25">
      <c r="C35" t="s">
        <v>61</v>
      </c>
    </row>
    <row r="36" spans="3:3" x14ac:dyDescent="0.25">
      <c r="C36" t="s">
        <v>62</v>
      </c>
    </row>
    <row r="37" spans="3:3" x14ac:dyDescent="0.25">
      <c r="C37" t="s">
        <v>64</v>
      </c>
    </row>
    <row r="38" spans="3:3" x14ac:dyDescent="0.25">
      <c r="C38" t="s">
        <v>63</v>
      </c>
    </row>
    <row r="39" spans="3:3" x14ac:dyDescent="0.25">
      <c r="C39" t="s">
        <v>65</v>
      </c>
    </row>
    <row r="40" spans="3:3" x14ac:dyDescent="0.25">
      <c r="C40" t="s">
        <v>66</v>
      </c>
    </row>
    <row r="41" spans="3:3" x14ac:dyDescent="0.25">
      <c r="C41" t="s">
        <v>71</v>
      </c>
    </row>
    <row r="42" spans="3:3" x14ac:dyDescent="0.25">
      <c r="C42" t="s">
        <v>70</v>
      </c>
    </row>
    <row r="43" spans="3:3" x14ac:dyDescent="0.25">
      <c r="C43" t="s">
        <v>67</v>
      </c>
    </row>
    <row r="44" spans="3:3" x14ac:dyDescent="0.25">
      <c r="C44" t="s">
        <v>68</v>
      </c>
    </row>
    <row r="45" spans="3:3" x14ac:dyDescent="0.25">
      <c r="C45" t="s">
        <v>69</v>
      </c>
    </row>
    <row r="46" spans="3:3" x14ac:dyDescent="0.25">
      <c r="C46" t="s">
        <v>72</v>
      </c>
    </row>
    <row r="47" spans="3:3" x14ac:dyDescent="0.25">
      <c r="C47" t="s">
        <v>73</v>
      </c>
    </row>
    <row r="48" spans="3:3" x14ac:dyDescent="0.25">
      <c r="C48" t="s">
        <v>74</v>
      </c>
    </row>
    <row r="49" spans="3:3" x14ac:dyDescent="0.25">
      <c r="C49" t="s">
        <v>75</v>
      </c>
    </row>
    <row r="50" spans="3:3" x14ac:dyDescent="0.25">
      <c r="C50" t="s">
        <v>76</v>
      </c>
    </row>
    <row r="51" spans="3:3" x14ac:dyDescent="0.25">
      <c r="C51" t="s">
        <v>77</v>
      </c>
    </row>
    <row r="52" spans="3:3" x14ac:dyDescent="0.25">
      <c r="C52" t="s">
        <v>78</v>
      </c>
    </row>
    <row r="53" spans="3:3" x14ac:dyDescent="0.25">
      <c r="C53" t="s">
        <v>79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Directory</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Silvis</dc:creator>
  <cp:lastModifiedBy>Zach Silvis</cp:lastModifiedBy>
  <dcterms:created xsi:type="dcterms:W3CDTF">2025-11-02T18:42:51Z</dcterms:created>
  <dcterms:modified xsi:type="dcterms:W3CDTF">2026-08-30T02:11:16Z</dcterms:modified>
</cp:coreProperties>
</file>